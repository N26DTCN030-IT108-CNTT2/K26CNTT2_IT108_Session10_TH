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ieuMuon" sheetId="1" state="visible" r:id="rId1"/>
    <sheet xmlns:r="http://schemas.openxmlformats.org/officeDocument/2006/relationships" name="DanhMucSach" sheetId="2" state="visible" r:id="rId2"/>
  </sheets>
  <definedNames>
    <definedName name="_xlnm._FilterDatabase" localSheetId="0" hidden="1">'PhieuMuon'!$A$1:$F$7</definedName>
    <definedName name="_xlnm._FilterDatabase" localSheetId="1" hidden="1">'DanhMucSach'!$A$1:$C$4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02C57"/>
        <bgColor rgb="00102C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80" customWidth="1" min="4" max="4"/>
    <col width="24" customWidth="1" min="5" max="5"/>
    <col width="19" customWidth="1" min="6" max="6"/>
  </cols>
  <sheetData>
    <row r="1">
      <c r="A1" s="1" t="inlineStr">
        <is>
          <t>MSSV</t>
        </is>
      </c>
      <c r="B1" s="1" t="inlineStr">
        <is>
          <t>Ho_Ten</t>
        </is>
      </c>
      <c r="C1" s="1" t="inlineStr">
        <is>
          <t>Ma_Sach</t>
        </is>
      </c>
      <c r="D1" s="1" t="inlineStr">
        <is>
          <t>Ten_Sach</t>
        </is>
      </c>
      <c r="E1" s="1" t="inlineStr">
        <is>
          <t>Ngay_Muon</t>
        </is>
      </c>
      <c r="F1" s="1" t="inlineStr">
        <is>
          <t>Tinh_Trang</t>
        </is>
      </c>
    </row>
    <row r="2">
      <c r="A2" t="inlineStr">
        <is>
          <t>SV001</t>
        </is>
      </c>
      <c r="B2" t="inlineStr">
        <is>
          <t>Nguyễn Văn An</t>
        </is>
      </c>
      <c r="C2" t="inlineStr">
        <is>
          <t>S001</t>
        </is>
      </c>
      <c r="D2">
        <f>IFERROR(VLOOKUP(C2, DanhMucSach!A$2:C$4, 2, FALSE), "Không tìm thấy sách")</f>
        <v/>
      </c>
      <c r="E2" t="inlineStr">
        <is>
          <t>01/10/2026</t>
        </is>
      </c>
      <c r="F2" t="inlineStr">
        <is>
          <t>Đang mượn</t>
        </is>
      </c>
    </row>
    <row r="3">
      <c r="A3" t="inlineStr">
        <is>
          <t>SV002</t>
        </is>
      </c>
      <c r="B3" t="inlineStr">
        <is>
          <t>Trần Thị Bình</t>
        </is>
      </c>
      <c r="C3" t="inlineStr">
        <is>
          <t>S002</t>
        </is>
      </c>
      <c r="D3">
        <f>IFERROR(VLOOKUP(C3, DanhMucSach!A$2:C$4, 2, FALSE), "Không tìm thấy sách")</f>
        <v/>
      </c>
      <c r="E3" t="inlineStr">
        <is>
          <t>03/10/2026</t>
        </is>
      </c>
      <c r="F3" t="inlineStr">
        <is>
          <t>Quá hạn</t>
        </is>
      </c>
    </row>
    <row r="4">
      <c r="A4" t="inlineStr">
        <is>
          <t>SV003</t>
        </is>
      </c>
      <c r="B4" t="inlineStr">
        <is>
          <t>Lê Văn Cường</t>
        </is>
      </c>
      <c r="C4" t="inlineStr">
        <is>
          <t>S003</t>
        </is>
      </c>
      <c r="D4">
        <f>IFERROR(VLOOKUP(C4, DanhMucSach!A$2:C$4, 2, FALSE), "Không tìm thấy sách")</f>
        <v/>
      </c>
      <c r="E4" t="inlineStr">
        <is>
          <t>10/10/2026</t>
        </is>
      </c>
      <c r="F4" t="inlineStr">
        <is>
          <t>Đã trả</t>
        </is>
      </c>
    </row>
    <row r="5">
      <c r="A5" t="inlineStr">
        <is>
          <t>SV004</t>
        </is>
      </c>
      <c r="B5" t="inlineStr">
        <is>
          <t>Phạm Thu Hà</t>
        </is>
      </c>
      <c r="C5" t="inlineStr">
        <is>
          <t>S099</t>
        </is>
      </c>
      <c r="D5">
        <f>IFERROR(VLOOKUP(C5, DanhMucSach!A$2:C$4, 2, FALSE), "Không tìm thấy sách")</f>
        <v/>
      </c>
      <c r="E5" t="inlineStr">
        <is>
          <t>12/10/2026</t>
        </is>
      </c>
      <c r="F5" t="inlineStr">
        <is>
          <t>Đang mượn</t>
        </is>
      </c>
    </row>
    <row r="6"/>
    <row r="7">
      <c r="E7" t="inlineStr">
        <is>
          <t>Tổng số phiếu mượn:</t>
        </is>
      </c>
      <c r="F7">
        <f>COUNTA(A2:A5)</f>
        <v/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</cols>
  <sheetData>
    <row r="1">
      <c r="A1" s="1" t="inlineStr">
        <is>
          <t>Ma_Sach</t>
        </is>
      </c>
      <c r="B1" s="1" t="inlineStr">
        <is>
          <t>Ten_Sach</t>
        </is>
      </c>
      <c r="C1" s="1" t="inlineStr">
        <is>
          <t>The_Loai</t>
        </is>
      </c>
    </row>
    <row r="2">
      <c r="A2" t="inlineStr">
        <is>
          <t>S001</t>
        </is>
      </c>
      <c r="B2" t="inlineStr">
        <is>
          <t>Lập Trình C Căn Bản</t>
        </is>
      </c>
      <c r="C2" t="inlineStr">
        <is>
          <t>Công nghệ thông tin</t>
        </is>
      </c>
    </row>
    <row r="3">
      <c r="A3" t="inlineStr">
        <is>
          <t>S002</t>
        </is>
      </c>
      <c r="B3" t="inlineStr">
        <is>
          <t>Giải Tích 1</t>
        </is>
      </c>
      <c r="C3" t="inlineStr">
        <is>
          <t>Toán học</t>
        </is>
      </c>
    </row>
    <row r="4">
      <c r="A4" t="inlineStr">
        <is>
          <t>S003</t>
        </is>
      </c>
      <c r="B4" t="inlineStr">
        <is>
          <t>Kỹ Năng Mềm</t>
        </is>
      </c>
      <c r="C4" t="inlineStr">
        <is>
          <t>Kỹ năng sống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2026-10-27T03:24:42Z</dcterms:created>
  <dcterms:modified xmlns:dcterms="http://purl.org/dc/terms/" xmlns:xsi="http://www.w3.org/2001/XMLSchema-instance" xsi:type="dcterms:W3CDTF">2026-10-27T03:24:42Z</dcterms:modified>
</cp:coreProperties>
</file>